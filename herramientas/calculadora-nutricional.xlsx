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BAÑEZ\jimenapp\herramientas\"/>
    </mc:Choice>
  </mc:AlternateContent>
  <xr:revisionPtr revIDLastSave="0" documentId="8_{D9D78E31-BDC4-4279-B961-0F077C57C59C}" xr6:coauthVersionLast="47" xr6:coauthVersionMax="47" xr10:uidLastSave="{00000000-0000-0000-0000-000000000000}"/>
  <bookViews>
    <workbookView xWindow="760" yWindow="760" windowWidth="14400" windowHeight="7270" xr2:uid="{6139D992-123D-40F3-88DB-3D1053AD54E8}"/>
  </bookViews>
  <sheets>
    <sheet name="Calculadora nutrici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B20" i="1"/>
  <c r="C20" i="1"/>
  <c r="D19" i="1"/>
  <c r="B19" i="1"/>
  <c r="C19" i="1"/>
  <c r="D18" i="1"/>
  <c r="C18" i="1"/>
  <c r="B18" i="1"/>
  <c r="C14" i="1"/>
  <c r="C13" i="1"/>
  <c r="C12" i="1"/>
</calcChain>
</file>

<file path=xl/sharedStrings.xml><?xml version="1.0" encoding="utf-8"?>
<sst xmlns="http://schemas.openxmlformats.org/spreadsheetml/2006/main" count="34" uniqueCount="34">
  <si>
    <t>CALCULADORA NUTRICIONAL — Jimena Ibañez</t>
  </si>
  <si>
    <t>Fórmula Mifflin-St Jeor + déficit/superávit ajustable. Reparto de macros por objetivo de recomposición corporal.</t>
  </si>
  <si>
    <t>DATOS</t>
  </si>
  <si>
    <t>Nombre</t>
  </si>
  <si>
    <t>Sexo</t>
  </si>
  <si>
    <t>Edad (años)</t>
  </si>
  <si>
    <t>Peso (kg)</t>
  </si>
  <si>
    <t>Altura (cm)</t>
  </si>
  <si>
    <t>Nivel de actividad</t>
  </si>
  <si>
    <t>Objetivo calórico</t>
  </si>
  <si>
    <t>Actividad</t>
  </si>
  <si>
    <t>Factor</t>
  </si>
  <si>
    <t>Sedentario</t>
  </si>
  <si>
    <t>Ligero (1-3 días/sem)</t>
  </si>
  <si>
    <t>Moderado (3-5 días/sem)</t>
  </si>
  <si>
    <t>Activo (6-7 días/sem)</t>
  </si>
  <si>
    <t>Muy activo (2x/día)</t>
  </si>
  <si>
    <t>Objetivo</t>
  </si>
  <si>
    <t>Ajuste kcal/día</t>
  </si>
  <si>
    <t>Déficit moderado (recomposición)</t>
  </si>
  <si>
    <t>Mantenimiento</t>
  </si>
  <si>
    <t>Superávit leve</t>
  </si>
  <si>
    <t>RESULTADOS</t>
  </si>
  <si>
    <t>TMB (Mifflin-St Jeor) — kcal/día</t>
  </si>
  <si>
    <t>TDEE (gasto total) — kcal/día</t>
  </si>
  <si>
    <t>Calorías objetivo — kcal/día</t>
  </si>
  <si>
    <t>MACRONUTRIENTES</t>
  </si>
  <si>
    <t>g / día</t>
  </si>
  <si>
    <t>kcal / día</t>
  </si>
  <si>
    <t>% de calorías objetivo</t>
  </si>
  <si>
    <t>Proteína (2 g/kg)</t>
  </si>
  <si>
    <t>Grasas (27.5% de kcal objetivo)</t>
  </si>
  <si>
    <t>Carbohidratos (resto)</t>
  </si>
  <si>
    <t>Esta calculadora es una estimación orientativa (fórmula Mifflin-St Jeor) para uso interno en la planificación con alumnas. No reemplaza una evaluación nutricional profesional en casos de patologías metabólicas u hormonales relevantes (SOP, hipotiroidismo, resistencia a la insulina, etc.) — en esos casos, derivar a nutricionista.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</si>
</sst>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5C1F32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rgb="FF5C1F3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rgb="FF999999"/>
      <name val="Aptos Narrow"/>
      <family val="2"/>
      <scheme val="minor"/>
    </font>
    <font>
      <sz val="9"/>
      <color rgb="FF99999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E4E9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E4EFE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6" fillId="2" borderId="1" xfId="0" applyFont="1" applyFill="1" applyBorder="1"/>
    <xf numFmtId="0" fontId="7" fillId="0" borderId="0" xfId="0" applyFont="1"/>
    <xf numFmtId="0" fontId="0" fillId="0" borderId="3" xfId="0" applyBorder="1"/>
    <xf numFmtId="1" fontId="1" fillId="4" borderId="1" xfId="0" applyNumberFormat="1" applyFont="1" applyFill="1" applyBorder="1"/>
    <xf numFmtId="1" fontId="1" fillId="4" borderId="1" xfId="0" applyNumberFormat="1" applyFont="1" applyFill="1" applyBorder="1"/>
    <xf numFmtId="9" fontId="1" fillId="4" borderId="1" xfId="0" applyNumberFormat="1" applyFont="1" applyFill="1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2479-301E-4174-8BFD-5DB7D8D06ADF}">
  <dimension ref="A1:G22"/>
  <sheetViews>
    <sheetView tabSelected="1" workbookViewId="0"/>
  </sheetViews>
  <sheetFormatPr baseColWidth="10" defaultRowHeight="14.5" x14ac:dyDescent="0.35"/>
  <cols>
    <col min="1" max="1" width="32.6328125" customWidth="1"/>
    <col min="2" max="3" width="16.6328125" customWidth="1"/>
    <col min="4" max="4" width="20.6328125" customWidth="1"/>
    <col min="6" max="6" width="30.6328125" customWidth="1"/>
    <col min="7" max="7" width="12.6328125" customWidth="1"/>
  </cols>
  <sheetData>
    <row r="1" spans="1:7" ht="21" x14ac:dyDescent="0.5">
      <c r="A1" s="2" t="s">
        <v>0</v>
      </c>
      <c r="B1" s="1"/>
      <c r="C1" s="1"/>
      <c r="D1" s="1"/>
    </row>
    <row r="2" spans="1:7" x14ac:dyDescent="0.35">
      <c r="A2" s="3" t="s">
        <v>1</v>
      </c>
      <c r="B2" s="3"/>
      <c r="C2" s="3"/>
      <c r="D2" s="3"/>
    </row>
    <row r="4" spans="1:7" x14ac:dyDescent="0.35">
      <c r="A4" s="4" t="s">
        <v>2</v>
      </c>
      <c r="B4" s="4"/>
      <c r="C4" s="4"/>
      <c r="D4" s="4"/>
    </row>
    <row r="5" spans="1:7" x14ac:dyDescent="0.35">
      <c r="A5" s="5" t="s">
        <v>3</v>
      </c>
      <c r="B5" s="7"/>
      <c r="C5" s="8"/>
      <c r="D5" s="8"/>
    </row>
    <row r="6" spans="1:7" x14ac:dyDescent="0.35">
      <c r="A6" s="5" t="s">
        <v>4</v>
      </c>
      <c r="B6" s="6"/>
      <c r="C6" s="5" t="s">
        <v>5</v>
      </c>
      <c r="D6" s="6"/>
      <c r="F6" s="9" t="s">
        <v>10</v>
      </c>
      <c r="G6" s="9" t="s">
        <v>11</v>
      </c>
    </row>
    <row r="7" spans="1:7" x14ac:dyDescent="0.35">
      <c r="A7" s="5" t="s">
        <v>6</v>
      </c>
      <c r="B7" s="6"/>
      <c r="C7" s="5" t="s">
        <v>7</v>
      </c>
      <c r="D7" s="6"/>
      <c r="F7" s="10" t="s">
        <v>12</v>
      </c>
      <c r="G7" s="10">
        <v>1.2</v>
      </c>
    </row>
    <row r="8" spans="1:7" x14ac:dyDescent="0.35">
      <c r="A8" s="5" t="s">
        <v>8</v>
      </c>
      <c r="B8" s="6"/>
      <c r="F8" s="10" t="s">
        <v>13</v>
      </c>
      <c r="G8" s="10">
        <v>1.375</v>
      </c>
    </row>
    <row r="9" spans="1:7" x14ac:dyDescent="0.35">
      <c r="A9" s="5" t="s">
        <v>9</v>
      </c>
      <c r="B9" s="6"/>
      <c r="F9" s="10" t="s">
        <v>14</v>
      </c>
      <c r="G9" s="10">
        <v>1.55</v>
      </c>
    </row>
    <row r="10" spans="1:7" x14ac:dyDescent="0.35">
      <c r="F10" s="10" t="s">
        <v>15</v>
      </c>
      <c r="G10" s="10">
        <v>1.7250000000000001</v>
      </c>
    </row>
    <row r="11" spans="1:7" x14ac:dyDescent="0.35">
      <c r="A11" s="4" t="s">
        <v>22</v>
      </c>
      <c r="B11" s="4"/>
      <c r="C11" s="4"/>
      <c r="D11" s="4"/>
      <c r="F11" s="10" t="s">
        <v>16</v>
      </c>
      <c r="G11" s="10">
        <v>1.9</v>
      </c>
    </row>
    <row r="12" spans="1:7" x14ac:dyDescent="0.35">
      <c r="A12" s="5" t="s">
        <v>23</v>
      </c>
      <c r="C12" s="12" t="str">
        <f>IF(OR(B7="",D7="",D6="",B6=""),"",IF(B6="Hombre",10*B7+6.25*D7-5*D6+5,10*B7+6.25*D7-5*D6-161))</f>
        <v/>
      </c>
      <c r="D12" s="11"/>
      <c r="F12" s="10"/>
      <c r="G12" s="10"/>
    </row>
    <row r="13" spans="1:7" x14ac:dyDescent="0.35">
      <c r="A13" s="5" t="s">
        <v>24</v>
      </c>
      <c r="C13" s="12" t="str">
        <f>IF(OR(C12="",B8=""),"",C12*IFERROR(VLOOKUP(B8,$F$7:$G$11,2,FALSE),1))</f>
        <v/>
      </c>
      <c r="D13" s="1"/>
      <c r="F13" s="9" t="s">
        <v>17</v>
      </c>
      <c r="G13" s="9" t="s">
        <v>18</v>
      </c>
    </row>
    <row r="14" spans="1:7" x14ac:dyDescent="0.35">
      <c r="A14" s="5" t="s">
        <v>25</v>
      </c>
      <c r="C14" s="12" t="str">
        <f>IF(OR(C13="",B9=""),"",C13+IFERROR(VLOOKUP(B9,$F$14:$G$16,2,FALSE),0))</f>
        <v/>
      </c>
      <c r="D14" s="1"/>
      <c r="F14" s="10" t="s">
        <v>19</v>
      </c>
      <c r="G14" s="10">
        <v>-300</v>
      </c>
    </row>
    <row r="15" spans="1:7" x14ac:dyDescent="0.35">
      <c r="F15" s="10" t="s">
        <v>20</v>
      </c>
      <c r="G15" s="10">
        <v>0</v>
      </c>
    </row>
    <row r="16" spans="1:7" x14ac:dyDescent="0.35">
      <c r="A16" s="4" t="s">
        <v>26</v>
      </c>
      <c r="B16" s="4"/>
      <c r="C16" s="4"/>
      <c r="D16" s="4"/>
      <c r="F16" s="10" t="s">
        <v>21</v>
      </c>
      <c r="G16" s="10">
        <v>250</v>
      </c>
    </row>
    <row r="17" spans="1:4" x14ac:dyDescent="0.35">
      <c r="A17" s="4"/>
      <c r="B17" s="4" t="s">
        <v>27</v>
      </c>
      <c r="C17" s="4" t="s">
        <v>28</v>
      </c>
      <c r="D17" s="4" t="s">
        <v>29</v>
      </c>
    </row>
    <row r="18" spans="1:4" x14ac:dyDescent="0.35">
      <c r="A18" s="5" t="s">
        <v>30</v>
      </c>
      <c r="B18" s="13" t="str">
        <f>IF(B7="","",B7*2)</f>
        <v/>
      </c>
      <c r="C18" s="13" t="str">
        <f>IF(B18="","",B18*4)</f>
        <v/>
      </c>
      <c r="D18" s="14" t="str">
        <f>IF(OR(C18="",C14=""),"",C18/C14)</f>
        <v/>
      </c>
    </row>
    <row r="19" spans="1:4" x14ac:dyDescent="0.35">
      <c r="A19" s="5" t="s">
        <v>31</v>
      </c>
      <c r="B19" s="13" t="str">
        <f>IF(C19="","",C19/9)</f>
        <v/>
      </c>
      <c r="C19" s="13" t="str">
        <f>IF(C14="","",C14*0.275)</f>
        <v/>
      </c>
      <c r="D19" s="14" t="str">
        <f>IF(OR(C19="",C14=""),"",C19/C14)</f>
        <v/>
      </c>
    </row>
    <row r="20" spans="1:4" x14ac:dyDescent="0.35">
      <c r="A20" s="5" t="s">
        <v>32</v>
      </c>
      <c r="B20" s="13" t="str">
        <f>IF(C20="","",C20/4)</f>
        <v/>
      </c>
      <c r="C20" s="13" t="str">
        <f>IF(OR(C14="",C18="",C19=""),"",C14-C18-C19)</f>
        <v/>
      </c>
      <c r="D20" s="14" t="str">
        <f>IF(OR(C20="",C14=""),"",C20/C14)</f>
        <v/>
      </c>
    </row>
    <row r="22" spans="1:4" ht="42" customHeight="1" x14ac:dyDescent="0.35">
      <c r="A22" s="15" t="s">
        <v>33</v>
      </c>
      <c r="B22" s="16"/>
      <c r="C22" s="16"/>
      <c r="D22" s="16"/>
    </row>
  </sheetData>
  <mergeCells count="7">
    <mergeCell ref="A22:D22"/>
    <mergeCell ref="A1:D1"/>
    <mergeCell ref="A2:D2"/>
    <mergeCell ref="B5:D5"/>
    <mergeCell ref="C12:D12"/>
    <mergeCell ref="C13:D13"/>
    <mergeCell ref="C14:D14"/>
  </mergeCells>
  <dataValidations count="3">
    <dataValidation type="list" allowBlank="1" showInputMessage="1" showErrorMessage="1" sqref="B6" xr:uid="{81EEBE7F-F3C5-4DEC-9D72-90360189C1F4}">
      <mc:AlternateContent xmlns:x12ac="http://schemas.microsoft.com/office/spreadsheetml/2011/1/ac" xmlns:mc="http://schemas.openxmlformats.org/markup-compatibility/2006">
        <mc:Choice Requires="x12ac">
          <x12ac:list>"Mujer,Hombre"</x12ac:list>
        </mc:Choice>
        <mc:Fallback>
          <formula1>"Mujer,Hombre"</formula1>
        </mc:Fallback>
      </mc:AlternateContent>
    </dataValidation>
    <dataValidation type="list" allowBlank="1" showInputMessage="1" showErrorMessage="1" sqref="B8" xr:uid="{FAA9888B-72A0-43D7-BD47-9FF997268DDE}">
      <mc:AlternateContent xmlns:x12ac="http://schemas.microsoft.com/office/spreadsheetml/2011/1/ac" xmlns:mc="http://schemas.openxmlformats.org/markup-compatibility/2006">
        <mc:Choice Requires="x12ac">
          <x12ac:list>"Sedentario,Ligero (1-3 días/sem),Moderado (3-5 días/sem),Activo (6-7 días/sem),Muy activo (2x/día)"</x12ac:list>
        </mc:Choice>
        <mc:Fallback>
          <formula1>"Sedentario,Ligero (1-3 días/sem),Moderado (3-5 días/sem),Activo (6-7 días/sem),Muy activo (2x/día)"</formula1>
        </mc:Fallback>
      </mc:AlternateContent>
    </dataValidation>
    <dataValidation type="list" allowBlank="1" showInputMessage="1" showErrorMessage="1" sqref="B9" xr:uid="{C482C819-BE27-4560-8E48-150547B8694C}">
      <mc:AlternateContent xmlns:x12ac="http://schemas.microsoft.com/office/spreadsheetml/2011/1/ac" xmlns:mc="http://schemas.openxmlformats.org/markup-compatibility/2006">
        <mc:Choice Requires="x12ac">
          <x12ac:list>"Déficit moderado (recomposición),Mantenimiento,Superávit leve"</x12ac:list>
        </mc:Choice>
        <mc:Fallback>
          <formula1>"Déficit moderado (recomposición),Mantenimiento,Superávit leve"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Calculadora nutricional</vt:lpstr>
    </vt:vector>
  </TitlesOfParts>
  <Company>SCBA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Ibañez</dc:creator>
  <cp:lastModifiedBy>Jimena Ibañez</cp:lastModifiedBy>
  <dcterms:created xsi:type="dcterms:W3CDTF">2026-08-11T18:02:11Z</dcterms:created>
  <dcterms:modified xsi:type="dcterms:W3CDTF">2026-08-11T18:02:22Z</dcterms:modified>
</cp:coreProperties>
</file>