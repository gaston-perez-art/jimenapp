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BAÑEZ\jimenapp\herramientas\"/>
    </mc:Choice>
  </mc:AlternateContent>
  <xr:revisionPtr revIDLastSave="0" documentId="8_{87CDF99A-F5EF-4A0D-B8A5-AB9257A350FD}" xr6:coauthVersionLast="47" xr6:coauthVersionMax="47" xr10:uidLastSave="{00000000-0000-0000-0000-000000000000}"/>
  <bookViews>
    <workbookView xWindow="760" yWindow="760" windowWidth="14400" windowHeight="7270" activeTab="2" xr2:uid="{B73CED60-AA19-4D76-9C3D-DCBA36F9409D}"/>
  </bookViews>
  <sheets>
    <sheet name="Planificador" sheetId="3" r:id="rId1"/>
    <sheet name="Tabla RPE" sheetId="2" r:id="rId2"/>
    <sheet name="Dato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3" l="1"/>
  <c r="I38" i="3"/>
  <c r="J37" i="3"/>
  <c r="I37" i="3"/>
  <c r="J35" i="3"/>
  <c r="I35" i="3"/>
  <c r="J34" i="3"/>
  <c r="I34" i="3"/>
  <c r="J32" i="3"/>
  <c r="I32" i="3"/>
  <c r="J31" i="3"/>
  <c r="I31" i="3"/>
  <c r="J29" i="3"/>
  <c r="I29" i="3"/>
  <c r="J28" i="3"/>
  <c r="I28" i="3"/>
  <c r="J26" i="3"/>
  <c r="I26" i="3"/>
  <c r="J25" i="3"/>
  <c r="I25" i="3"/>
  <c r="J23" i="3"/>
  <c r="I23" i="3"/>
  <c r="J22" i="3"/>
  <c r="I22" i="3"/>
  <c r="J20" i="3"/>
  <c r="I20" i="3"/>
  <c r="J19" i="3"/>
  <c r="I19" i="3"/>
  <c r="J17" i="3"/>
  <c r="I17" i="3"/>
  <c r="J16" i="3"/>
  <c r="I16" i="3"/>
  <c r="J14" i="3"/>
  <c r="I14" i="3"/>
  <c r="J13" i="3"/>
  <c r="I13" i="3"/>
  <c r="J11" i="3"/>
  <c r="I11" i="3"/>
  <c r="J10" i="3"/>
  <c r="I10" i="3"/>
  <c r="J8" i="3"/>
  <c r="I8" i="3"/>
  <c r="J7" i="3"/>
  <c r="I7" i="3"/>
  <c r="J5" i="3"/>
  <c r="I5" i="3"/>
  <c r="J4" i="3"/>
  <c r="I4" i="3"/>
</calcChain>
</file>

<file path=xl/sharedStrings.xml><?xml version="1.0" encoding="utf-8"?>
<sst xmlns="http://schemas.openxmlformats.org/spreadsheetml/2006/main" count="136" uniqueCount="35">
  <si>
    <t>DATOS DE LA ALUMNA Y 1RM DE REFERENCIA</t>
  </si>
  <si>
    <t>Nombre</t>
  </si>
  <si>
    <t>Fecha inicio del mesociclo</t>
  </si>
  <si>
    <t>Modelo: acumulación -&gt; intensificación -&gt; descarga, autorregulado por RPE</t>
  </si>
  <si>
    <t>Ejercicio</t>
  </si>
  <si>
    <t>1RM estimado (kg)</t>
  </si>
  <si>
    <t>Notas</t>
  </si>
  <si>
    <t>Sentadilla</t>
  </si>
  <si>
    <t>Peso muerto</t>
  </si>
  <si>
    <t>Press banca</t>
  </si>
  <si>
    <t>Press militar</t>
  </si>
  <si>
    <t>Remo</t>
  </si>
  <si>
    <t>TABLA RPE -&gt; %1RM (referencia para autorregulación)</t>
  </si>
  <si>
    <t>Reps \ RPE</t>
  </si>
  <si>
    <t>Tabla de referencia estándar (Tuchscherer / RTS). Usar como guía; ajustar siempre con sensación real de la alumna en la sesión.</t>
  </si>
  <si>
    <t>PLANIFICADOR DE MESOCICLO (6 semanas: 3 acumulación / 2 intensificación / 1 descarga)</t>
  </si>
  <si>
    <t>Bloque</t>
  </si>
  <si>
    <t>Semana</t>
  </si>
  <si>
    <t>Día</t>
  </si>
  <si>
    <t>Tipo de ejercicio</t>
  </si>
  <si>
    <t>Series</t>
  </si>
  <si>
    <t>Reps objetivo</t>
  </si>
  <si>
    <t>RPE objetivo</t>
  </si>
  <si>
    <t>%1RM (tabla)</t>
  </si>
  <si>
    <t>Carga sugerida (kg)</t>
  </si>
  <si>
    <t>Carga real (kg)</t>
  </si>
  <si>
    <t>RPE real / Notas</t>
  </si>
  <si>
    <t>Acumulación</t>
  </si>
  <si>
    <t>Día 1</t>
  </si>
  <si>
    <t>Principal (fuerza)</t>
  </si>
  <si>
    <t>Accesorio (hipertrofia)</t>
  </si>
  <si>
    <t>Finalizador metabólico</t>
  </si>
  <si>
    <t>Día 2</t>
  </si>
  <si>
    <t>Intensificación</t>
  </si>
  <si>
    <t>Descarga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</si>
</sst>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5C1F32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rgb="FF5C1F3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6FA"/>
        <bgColor indexed="64"/>
      </patternFill>
    </fill>
    <fill>
      <patternFill patternType="solid">
        <fgColor rgb="FFF3E4E9"/>
        <bgColor indexed="64"/>
      </patternFill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1" xfId="0" applyFill="1" applyBorder="1"/>
    <xf numFmtId="164" fontId="0" fillId="2" borderId="1" xfId="0" applyNumberFormat="1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9" fontId="0" fillId="0" borderId="1" xfId="0" applyNumberFormat="1" applyBorder="1"/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65" fontId="0" fillId="0" borderId="1" xfId="0" applyNumberFormat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F76D-0791-4670-8455-CB78B4E8B404}">
  <dimension ref="A1:L39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4.5" x14ac:dyDescent="0.35"/>
  <cols>
    <col min="1" max="4" width="15.6328125" customWidth="1"/>
    <col min="5" max="5" width="20.6328125" customWidth="1"/>
    <col min="6" max="11" width="15.6328125" customWidth="1"/>
    <col min="12" max="12" width="24.6328125" customWidth="1"/>
  </cols>
  <sheetData>
    <row r="1" spans="1:12" ht="18.5" x14ac:dyDescent="0.45">
      <c r="A1" s="2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s="11" customFormat="1" ht="43.5" x14ac:dyDescent="0.35">
      <c r="A3" s="10" t="s">
        <v>16</v>
      </c>
      <c r="B3" s="10" t="s">
        <v>17</v>
      </c>
      <c r="C3" s="10" t="s">
        <v>18</v>
      </c>
      <c r="D3" s="10" t="s">
        <v>19</v>
      </c>
      <c r="E3" s="10" t="s">
        <v>4</v>
      </c>
      <c r="F3" s="10" t="s">
        <v>20</v>
      </c>
      <c r="G3" s="10" t="s">
        <v>21</v>
      </c>
      <c r="H3" s="10" t="s">
        <v>22</v>
      </c>
      <c r="I3" s="10" t="s">
        <v>23</v>
      </c>
      <c r="J3" s="10" t="s">
        <v>24</v>
      </c>
      <c r="K3" s="10" t="s">
        <v>25</v>
      </c>
      <c r="L3" s="10" t="s">
        <v>26</v>
      </c>
    </row>
    <row r="4" spans="1:12" x14ac:dyDescent="0.35">
      <c r="A4" t="s">
        <v>27</v>
      </c>
      <c r="B4">
        <v>1</v>
      </c>
      <c r="C4" t="s">
        <v>28</v>
      </c>
      <c r="D4" t="s">
        <v>29</v>
      </c>
      <c r="E4" s="4"/>
      <c r="F4" s="4">
        <v>3</v>
      </c>
      <c r="G4" s="4">
        <v>10</v>
      </c>
      <c r="H4" s="4">
        <v>7</v>
      </c>
      <c r="I4" s="8">
        <f>IFERROR(INDEX('Tabla RPE'!$B$4:$J$13,MATCH(G4,'Tabla RPE'!$A$4:$A$13,0),MATCH(H4,'Tabla RPE'!$B$3:$J$3,0)),"")</f>
        <v>0.7</v>
      </c>
      <c r="J4" s="12" t="str">
        <f>IFERROR(VLOOKUP(E4,Datos!$A$7:$B$11,2,FALSE)*I4,"")</f>
        <v/>
      </c>
      <c r="K4" s="4"/>
      <c r="L4" s="4"/>
    </row>
    <row r="5" spans="1:12" x14ac:dyDescent="0.35">
      <c r="A5" t="s">
        <v>27</v>
      </c>
      <c r="B5">
        <v>1</v>
      </c>
      <c r="C5" t="s">
        <v>28</v>
      </c>
      <c r="D5" t="s">
        <v>30</v>
      </c>
      <c r="E5" s="4"/>
      <c r="F5" s="4">
        <v>3</v>
      </c>
      <c r="G5" s="4">
        <v>10</v>
      </c>
      <c r="H5" s="4">
        <v>7</v>
      </c>
      <c r="I5" s="8">
        <f>IFERROR(INDEX('Tabla RPE'!$B$4:$J$13,MATCH(G5,'Tabla RPE'!$A$4:$A$13,0),MATCH(H5,'Tabla RPE'!$B$3:$J$3,0)),"")</f>
        <v>0.7</v>
      </c>
      <c r="J5" s="12" t="str">
        <f>IFERROR(VLOOKUP(E5,Datos!$A$7:$B$11,2,FALSE)*I5,"")</f>
        <v/>
      </c>
      <c r="K5" s="4"/>
      <c r="L5" s="4"/>
    </row>
    <row r="6" spans="1:12" x14ac:dyDescent="0.35">
      <c r="A6" t="s">
        <v>27</v>
      </c>
      <c r="B6">
        <v>1</v>
      </c>
      <c r="C6" t="s">
        <v>28</v>
      </c>
      <c r="D6" t="s">
        <v>31</v>
      </c>
      <c r="E6" s="4"/>
      <c r="F6" s="4"/>
      <c r="I6" s="13"/>
      <c r="J6" s="13"/>
      <c r="K6" s="4"/>
      <c r="L6" s="4"/>
    </row>
    <row r="7" spans="1:12" x14ac:dyDescent="0.35">
      <c r="A7" t="s">
        <v>27</v>
      </c>
      <c r="B7">
        <v>1</v>
      </c>
      <c r="C7" t="s">
        <v>32</v>
      </c>
      <c r="D7" t="s">
        <v>29</v>
      </c>
      <c r="E7" s="4"/>
      <c r="F7" s="4">
        <v>3</v>
      </c>
      <c r="G7" s="4">
        <v>10</v>
      </c>
      <c r="H7" s="4">
        <v>7</v>
      </c>
      <c r="I7" s="8">
        <f>IFERROR(INDEX('Tabla RPE'!$B$4:$J$13,MATCH(G7,'Tabla RPE'!$A$4:$A$13,0),MATCH(H7,'Tabla RPE'!$B$3:$J$3,0)),"")</f>
        <v>0.7</v>
      </c>
      <c r="J7" s="12" t="str">
        <f>IFERROR(VLOOKUP(E7,Datos!$A$7:$B$11,2,FALSE)*I7,"")</f>
        <v/>
      </c>
      <c r="K7" s="4"/>
      <c r="L7" s="4"/>
    </row>
    <row r="8" spans="1:12" x14ac:dyDescent="0.35">
      <c r="A8" t="s">
        <v>27</v>
      </c>
      <c r="B8">
        <v>1</v>
      </c>
      <c r="C8" t="s">
        <v>32</v>
      </c>
      <c r="D8" t="s">
        <v>30</v>
      </c>
      <c r="E8" s="4"/>
      <c r="F8" s="4">
        <v>3</v>
      </c>
      <c r="G8" s="4">
        <v>10</v>
      </c>
      <c r="H8" s="4">
        <v>7</v>
      </c>
      <c r="I8" s="8">
        <f>IFERROR(INDEX('Tabla RPE'!$B$4:$J$13,MATCH(G8,'Tabla RPE'!$A$4:$A$13,0),MATCH(H8,'Tabla RPE'!$B$3:$J$3,0)),"")</f>
        <v>0.7</v>
      </c>
      <c r="J8" s="12" t="str">
        <f>IFERROR(VLOOKUP(E8,Datos!$A$7:$B$11,2,FALSE)*I8,"")</f>
        <v/>
      </c>
      <c r="K8" s="4"/>
      <c r="L8" s="4"/>
    </row>
    <row r="9" spans="1:12" x14ac:dyDescent="0.35">
      <c r="A9" t="s">
        <v>27</v>
      </c>
      <c r="B9">
        <v>1</v>
      </c>
      <c r="C9" t="s">
        <v>32</v>
      </c>
      <c r="D9" t="s">
        <v>31</v>
      </c>
      <c r="E9" s="4"/>
      <c r="F9" s="4"/>
      <c r="I9" s="13"/>
      <c r="J9" s="13"/>
      <c r="K9" s="4"/>
      <c r="L9" s="4"/>
    </row>
    <row r="10" spans="1:12" x14ac:dyDescent="0.35">
      <c r="A10" t="s">
        <v>27</v>
      </c>
      <c r="B10">
        <v>2</v>
      </c>
      <c r="C10" t="s">
        <v>28</v>
      </c>
      <c r="D10" t="s">
        <v>29</v>
      </c>
      <c r="E10" s="4"/>
      <c r="F10" s="4">
        <v>3</v>
      </c>
      <c r="G10" s="4">
        <v>10</v>
      </c>
      <c r="H10" s="4">
        <v>7</v>
      </c>
      <c r="I10" s="8">
        <f>IFERROR(INDEX('Tabla RPE'!$B$4:$J$13,MATCH(G10,'Tabla RPE'!$A$4:$A$13,0),MATCH(H10,'Tabla RPE'!$B$3:$J$3,0)),"")</f>
        <v>0.7</v>
      </c>
      <c r="J10" s="12" t="str">
        <f>IFERROR(VLOOKUP(E10,Datos!$A$7:$B$11,2,FALSE)*I10,"")</f>
        <v/>
      </c>
      <c r="K10" s="4"/>
      <c r="L10" s="4"/>
    </row>
    <row r="11" spans="1:12" x14ac:dyDescent="0.35">
      <c r="A11" t="s">
        <v>27</v>
      </c>
      <c r="B11">
        <v>2</v>
      </c>
      <c r="C11" t="s">
        <v>28</v>
      </c>
      <c r="D11" t="s">
        <v>30</v>
      </c>
      <c r="E11" s="4"/>
      <c r="F11" s="4">
        <v>3</v>
      </c>
      <c r="G11" s="4">
        <v>10</v>
      </c>
      <c r="H11" s="4">
        <v>7</v>
      </c>
      <c r="I11" s="8">
        <f>IFERROR(INDEX('Tabla RPE'!$B$4:$J$13,MATCH(G11,'Tabla RPE'!$A$4:$A$13,0),MATCH(H11,'Tabla RPE'!$B$3:$J$3,0)),"")</f>
        <v>0.7</v>
      </c>
      <c r="J11" s="12" t="str">
        <f>IFERROR(VLOOKUP(E11,Datos!$A$7:$B$11,2,FALSE)*I11,"")</f>
        <v/>
      </c>
      <c r="K11" s="4"/>
      <c r="L11" s="4"/>
    </row>
    <row r="12" spans="1:12" x14ac:dyDescent="0.35">
      <c r="A12" t="s">
        <v>27</v>
      </c>
      <c r="B12">
        <v>2</v>
      </c>
      <c r="C12" t="s">
        <v>28</v>
      </c>
      <c r="D12" t="s">
        <v>31</v>
      </c>
      <c r="E12" s="4"/>
      <c r="F12" s="4"/>
      <c r="I12" s="13"/>
      <c r="J12" s="13"/>
      <c r="K12" s="4"/>
      <c r="L12" s="4"/>
    </row>
    <row r="13" spans="1:12" x14ac:dyDescent="0.35">
      <c r="A13" t="s">
        <v>27</v>
      </c>
      <c r="B13">
        <v>2</v>
      </c>
      <c r="C13" t="s">
        <v>32</v>
      </c>
      <c r="D13" t="s">
        <v>29</v>
      </c>
      <c r="E13" s="4"/>
      <c r="F13" s="4">
        <v>3</v>
      </c>
      <c r="G13" s="4">
        <v>10</v>
      </c>
      <c r="H13" s="4">
        <v>7</v>
      </c>
      <c r="I13" s="8">
        <f>IFERROR(INDEX('Tabla RPE'!$B$4:$J$13,MATCH(G13,'Tabla RPE'!$A$4:$A$13,0),MATCH(H13,'Tabla RPE'!$B$3:$J$3,0)),"")</f>
        <v>0.7</v>
      </c>
      <c r="J13" s="12" t="str">
        <f>IFERROR(VLOOKUP(E13,Datos!$A$7:$B$11,2,FALSE)*I13,"")</f>
        <v/>
      </c>
      <c r="K13" s="4"/>
      <c r="L13" s="4"/>
    </row>
    <row r="14" spans="1:12" x14ac:dyDescent="0.35">
      <c r="A14" t="s">
        <v>27</v>
      </c>
      <c r="B14">
        <v>2</v>
      </c>
      <c r="C14" t="s">
        <v>32</v>
      </c>
      <c r="D14" t="s">
        <v>30</v>
      </c>
      <c r="E14" s="4"/>
      <c r="F14" s="4">
        <v>3</v>
      </c>
      <c r="G14" s="4">
        <v>10</v>
      </c>
      <c r="H14" s="4">
        <v>7</v>
      </c>
      <c r="I14" s="8">
        <f>IFERROR(INDEX('Tabla RPE'!$B$4:$J$13,MATCH(G14,'Tabla RPE'!$A$4:$A$13,0),MATCH(H14,'Tabla RPE'!$B$3:$J$3,0)),"")</f>
        <v>0.7</v>
      </c>
      <c r="J14" s="12" t="str">
        <f>IFERROR(VLOOKUP(E14,Datos!$A$7:$B$11,2,FALSE)*I14,"")</f>
        <v/>
      </c>
      <c r="K14" s="4"/>
      <c r="L14" s="4"/>
    </row>
    <row r="15" spans="1:12" x14ac:dyDescent="0.35">
      <c r="A15" t="s">
        <v>27</v>
      </c>
      <c r="B15">
        <v>2</v>
      </c>
      <c r="C15" t="s">
        <v>32</v>
      </c>
      <c r="D15" t="s">
        <v>31</v>
      </c>
      <c r="E15" s="4"/>
      <c r="F15" s="4"/>
      <c r="I15" s="13"/>
      <c r="J15" s="13"/>
      <c r="K15" s="4"/>
      <c r="L15" s="4"/>
    </row>
    <row r="16" spans="1:12" x14ac:dyDescent="0.35">
      <c r="A16" t="s">
        <v>27</v>
      </c>
      <c r="B16">
        <v>3</v>
      </c>
      <c r="C16" t="s">
        <v>28</v>
      </c>
      <c r="D16" t="s">
        <v>29</v>
      </c>
      <c r="E16" s="4"/>
      <c r="F16" s="4">
        <v>3</v>
      </c>
      <c r="G16" s="4">
        <v>10</v>
      </c>
      <c r="H16" s="4">
        <v>7</v>
      </c>
      <c r="I16" s="8">
        <f>IFERROR(INDEX('Tabla RPE'!$B$4:$J$13,MATCH(G16,'Tabla RPE'!$A$4:$A$13,0),MATCH(H16,'Tabla RPE'!$B$3:$J$3,0)),"")</f>
        <v>0.7</v>
      </c>
      <c r="J16" s="12" t="str">
        <f>IFERROR(VLOOKUP(E16,Datos!$A$7:$B$11,2,FALSE)*I16,"")</f>
        <v/>
      </c>
      <c r="K16" s="4"/>
      <c r="L16" s="4"/>
    </row>
    <row r="17" spans="1:12" x14ac:dyDescent="0.35">
      <c r="A17" t="s">
        <v>27</v>
      </c>
      <c r="B17">
        <v>3</v>
      </c>
      <c r="C17" t="s">
        <v>28</v>
      </c>
      <c r="D17" t="s">
        <v>30</v>
      </c>
      <c r="E17" s="4"/>
      <c r="F17" s="4">
        <v>3</v>
      </c>
      <c r="G17" s="4">
        <v>10</v>
      </c>
      <c r="H17" s="4">
        <v>7</v>
      </c>
      <c r="I17" s="8">
        <f>IFERROR(INDEX('Tabla RPE'!$B$4:$J$13,MATCH(G17,'Tabla RPE'!$A$4:$A$13,0),MATCH(H17,'Tabla RPE'!$B$3:$J$3,0)),"")</f>
        <v>0.7</v>
      </c>
      <c r="J17" s="12" t="str">
        <f>IFERROR(VLOOKUP(E17,Datos!$A$7:$B$11,2,FALSE)*I17,"")</f>
        <v/>
      </c>
      <c r="K17" s="4"/>
      <c r="L17" s="4"/>
    </row>
    <row r="18" spans="1:12" x14ac:dyDescent="0.35">
      <c r="A18" t="s">
        <v>27</v>
      </c>
      <c r="B18">
        <v>3</v>
      </c>
      <c r="C18" t="s">
        <v>28</v>
      </c>
      <c r="D18" t="s">
        <v>31</v>
      </c>
      <c r="E18" s="4"/>
      <c r="F18" s="4"/>
      <c r="I18" s="13"/>
      <c r="J18" s="13"/>
      <c r="K18" s="4"/>
      <c r="L18" s="4"/>
    </row>
    <row r="19" spans="1:12" x14ac:dyDescent="0.35">
      <c r="A19" t="s">
        <v>27</v>
      </c>
      <c r="B19">
        <v>3</v>
      </c>
      <c r="C19" t="s">
        <v>32</v>
      </c>
      <c r="D19" t="s">
        <v>29</v>
      </c>
      <c r="E19" s="4"/>
      <c r="F19" s="4">
        <v>3</v>
      </c>
      <c r="G19" s="4">
        <v>10</v>
      </c>
      <c r="H19" s="4">
        <v>7</v>
      </c>
      <c r="I19" s="8">
        <f>IFERROR(INDEX('Tabla RPE'!$B$4:$J$13,MATCH(G19,'Tabla RPE'!$A$4:$A$13,0),MATCH(H19,'Tabla RPE'!$B$3:$J$3,0)),"")</f>
        <v>0.7</v>
      </c>
      <c r="J19" s="12" t="str">
        <f>IFERROR(VLOOKUP(E19,Datos!$A$7:$B$11,2,FALSE)*I19,"")</f>
        <v/>
      </c>
      <c r="K19" s="4"/>
      <c r="L19" s="4"/>
    </row>
    <row r="20" spans="1:12" x14ac:dyDescent="0.35">
      <c r="A20" t="s">
        <v>27</v>
      </c>
      <c r="B20">
        <v>3</v>
      </c>
      <c r="C20" t="s">
        <v>32</v>
      </c>
      <c r="D20" t="s">
        <v>30</v>
      </c>
      <c r="E20" s="4"/>
      <c r="F20" s="4">
        <v>3</v>
      </c>
      <c r="G20" s="4">
        <v>10</v>
      </c>
      <c r="H20" s="4">
        <v>7</v>
      </c>
      <c r="I20" s="8">
        <f>IFERROR(INDEX('Tabla RPE'!$B$4:$J$13,MATCH(G20,'Tabla RPE'!$A$4:$A$13,0),MATCH(H20,'Tabla RPE'!$B$3:$J$3,0)),"")</f>
        <v>0.7</v>
      </c>
      <c r="J20" s="12" t="str">
        <f>IFERROR(VLOOKUP(E20,Datos!$A$7:$B$11,2,FALSE)*I20,"")</f>
        <v/>
      </c>
      <c r="K20" s="4"/>
      <c r="L20" s="4"/>
    </row>
    <row r="21" spans="1:12" x14ac:dyDescent="0.35">
      <c r="A21" t="s">
        <v>27</v>
      </c>
      <c r="B21">
        <v>3</v>
      </c>
      <c r="C21" t="s">
        <v>32</v>
      </c>
      <c r="D21" t="s">
        <v>31</v>
      </c>
      <c r="E21" s="4"/>
      <c r="F21" s="4"/>
      <c r="I21" s="13"/>
      <c r="J21" s="13"/>
      <c r="K21" s="4"/>
      <c r="L21" s="4"/>
    </row>
    <row r="22" spans="1:12" x14ac:dyDescent="0.35">
      <c r="A22" t="s">
        <v>33</v>
      </c>
      <c r="B22">
        <v>4</v>
      </c>
      <c r="C22" t="s">
        <v>28</v>
      </c>
      <c r="D22" t="s">
        <v>29</v>
      </c>
      <c r="E22" s="4"/>
      <c r="F22" s="4">
        <v>3</v>
      </c>
      <c r="G22" s="4">
        <v>6</v>
      </c>
      <c r="H22" s="4">
        <v>8.5</v>
      </c>
      <c r="I22" s="8">
        <f>IFERROR(INDEX('Tabla RPE'!$B$4:$J$13,MATCH(G22,'Tabla RPE'!$A$4:$A$13,0),MATCH(H22,'Tabla RPE'!$B$3:$J$3,0)),"")</f>
        <v>0.84</v>
      </c>
      <c r="J22" s="12" t="str">
        <f>IFERROR(VLOOKUP(E22,Datos!$A$7:$B$11,2,FALSE)*I22,"")</f>
        <v/>
      </c>
      <c r="K22" s="4"/>
      <c r="L22" s="4"/>
    </row>
    <row r="23" spans="1:12" x14ac:dyDescent="0.35">
      <c r="A23" t="s">
        <v>33</v>
      </c>
      <c r="B23">
        <v>4</v>
      </c>
      <c r="C23" t="s">
        <v>28</v>
      </c>
      <c r="D23" t="s">
        <v>30</v>
      </c>
      <c r="E23" s="4"/>
      <c r="F23" s="4">
        <v>3</v>
      </c>
      <c r="G23" s="4">
        <v>6</v>
      </c>
      <c r="H23" s="4">
        <v>8.5</v>
      </c>
      <c r="I23" s="8">
        <f>IFERROR(INDEX('Tabla RPE'!$B$4:$J$13,MATCH(G23,'Tabla RPE'!$A$4:$A$13,0),MATCH(H23,'Tabla RPE'!$B$3:$J$3,0)),"")</f>
        <v>0.84</v>
      </c>
      <c r="J23" s="12" t="str">
        <f>IFERROR(VLOOKUP(E23,Datos!$A$7:$B$11,2,FALSE)*I23,"")</f>
        <v/>
      </c>
      <c r="K23" s="4"/>
      <c r="L23" s="4"/>
    </row>
    <row r="24" spans="1:12" x14ac:dyDescent="0.35">
      <c r="A24" t="s">
        <v>33</v>
      </c>
      <c r="B24">
        <v>4</v>
      </c>
      <c r="C24" t="s">
        <v>28</v>
      </c>
      <c r="D24" t="s">
        <v>31</v>
      </c>
      <c r="E24" s="4"/>
      <c r="F24" s="4"/>
      <c r="I24" s="13"/>
      <c r="J24" s="13"/>
      <c r="K24" s="4"/>
      <c r="L24" s="4"/>
    </row>
    <row r="25" spans="1:12" x14ac:dyDescent="0.35">
      <c r="A25" t="s">
        <v>33</v>
      </c>
      <c r="B25">
        <v>4</v>
      </c>
      <c r="C25" t="s">
        <v>32</v>
      </c>
      <c r="D25" t="s">
        <v>29</v>
      </c>
      <c r="E25" s="4"/>
      <c r="F25" s="4">
        <v>3</v>
      </c>
      <c r="G25" s="4">
        <v>6</v>
      </c>
      <c r="H25" s="4">
        <v>8.5</v>
      </c>
      <c r="I25" s="8">
        <f>IFERROR(INDEX('Tabla RPE'!$B$4:$J$13,MATCH(G25,'Tabla RPE'!$A$4:$A$13,0),MATCH(H25,'Tabla RPE'!$B$3:$J$3,0)),"")</f>
        <v>0.84</v>
      </c>
      <c r="J25" s="12" t="str">
        <f>IFERROR(VLOOKUP(E25,Datos!$A$7:$B$11,2,FALSE)*I25,"")</f>
        <v/>
      </c>
      <c r="K25" s="4"/>
      <c r="L25" s="4"/>
    </row>
    <row r="26" spans="1:12" x14ac:dyDescent="0.35">
      <c r="A26" t="s">
        <v>33</v>
      </c>
      <c r="B26">
        <v>4</v>
      </c>
      <c r="C26" t="s">
        <v>32</v>
      </c>
      <c r="D26" t="s">
        <v>30</v>
      </c>
      <c r="E26" s="4"/>
      <c r="F26" s="4">
        <v>3</v>
      </c>
      <c r="G26" s="4">
        <v>6</v>
      </c>
      <c r="H26" s="4">
        <v>8.5</v>
      </c>
      <c r="I26" s="8">
        <f>IFERROR(INDEX('Tabla RPE'!$B$4:$J$13,MATCH(G26,'Tabla RPE'!$A$4:$A$13,0),MATCH(H26,'Tabla RPE'!$B$3:$J$3,0)),"")</f>
        <v>0.84</v>
      </c>
      <c r="J26" s="12" t="str">
        <f>IFERROR(VLOOKUP(E26,Datos!$A$7:$B$11,2,FALSE)*I26,"")</f>
        <v/>
      </c>
      <c r="K26" s="4"/>
      <c r="L26" s="4"/>
    </row>
    <row r="27" spans="1:12" x14ac:dyDescent="0.35">
      <c r="A27" t="s">
        <v>33</v>
      </c>
      <c r="B27">
        <v>4</v>
      </c>
      <c r="C27" t="s">
        <v>32</v>
      </c>
      <c r="D27" t="s">
        <v>31</v>
      </c>
      <c r="E27" s="4"/>
      <c r="F27" s="4"/>
      <c r="I27" s="13"/>
      <c r="J27" s="13"/>
      <c r="K27" s="4"/>
      <c r="L27" s="4"/>
    </row>
    <row r="28" spans="1:12" x14ac:dyDescent="0.35">
      <c r="A28" t="s">
        <v>33</v>
      </c>
      <c r="B28">
        <v>5</v>
      </c>
      <c r="C28" t="s">
        <v>28</v>
      </c>
      <c r="D28" t="s">
        <v>29</v>
      </c>
      <c r="E28" s="4"/>
      <c r="F28" s="4">
        <v>3</v>
      </c>
      <c r="G28" s="4">
        <v>6</v>
      </c>
      <c r="H28" s="4">
        <v>8.5</v>
      </c>
      <c r="I28" s="8">
        <f>IFERROR(INDEX('Tabla RPE'!$B$4:$J$13,MATCH(G28,'Tabla RPE'!$A$4:$A$13,0),MATCH(H28,'Tabla RPE'!$B$3:$J$3,0)),"")</f>
        <v>0.84</v>
      </c>
      <c r="J28" s="12" t="str">
        <f>IFERROR(VLOOKUP(E28,Datos!$A$7:$B$11,2,FALSE)*I28,"")</f>
        <v/>
      </c>
      <c r="K28" s="4"/>
      <c r="L28" s="4"/>
    </row>
    <row r="29" spans="1:12" x14ac:dyDescent="0.35">
      <c r="A29" t="s">
        <v>33</v>
      </c>
      <c r="B29">
        <v>5</v>
      </c>
      <c r="C29" t="s">
        <v>28</v>
      </c>
      <c r="D29" t="s">
        <v>30</v>
      </c>
      <c r="E29" s="4"/>
      <c r="F29" s="4">
        <v>3</v>
      </c>
      <c r="G29" s="4">
        <v>6</v>
      </c>
      <c r="H29" s="4">
        <v>8.5</v>
      </c>
      <c r="I29" s="8">
        <f>IFERROR(INDEX('Tabla RPE'!$B$4:$J$13,MATCH(G29,'Tabla RPE'!$A$4:$A$13,0),MATCH(H29,'Tabla RPE'!$B$3:$J$3,0)),"")</f>
        <v>0.84</v>
      </c>
      <c r="J29" s="12" t="str">
        <f>IFERROR(VLOOKUP(E29,Datos!$A$7:$B$11,2,FALSE)*I29,"")</f>
        <v/>
      </c>
      <c r="K29" s="4"/>
      <c r="L29" s="4"/>
    </row>
    <row r="30" spans="1:12" x14ac:dyDescent="0.35">
      <c r="A30" t="s">
        <v>33</v>
      </c>
      <c r="B30">
        <v>5</v>
      </c>
      <c r="C30" t="s">
        <v>28</v>
      </c>
      <c r="D30" t="s">
        <v>31</v>
      </c>
      <c r="E30" s="4"/>
      <c r="F30" s="4"/>
      <c r="I30" s="13"/>
      <c r="J30" s="13"/>
      <c r="K30" s="4"/>
      <c r="L30" s="4"/>
    </row>
    <row r="31" spans="1:12" x14ac:dyDescent="0.35">
      <c r="A31" t="s">
        <v>33</v>
      </c>
      <c r="B31">
        <v>5</v>
      </c>
      <c r="C31" t="s">
        <v>32</v>
      </c>
      <c r="D31" t="s">
        <v>29</v>
      </c>
      <c r="E31" s="4"/>
      <c r="F31" s="4">
        <v>3</v>
      </c>
      <c r="G31" s="4">
        <v>6</v>
      </c>
      <c r="H31" s="4">
        <v>8.5</v>
      </c>
      <c r="I31" s="8">
        <f>IFERROR(INDEX('Tabla RPE'!$B$4:$J$13,MATCH(G31,'Tabla RPE'!$A$4:$A$13,0),MATCH(H31,'Tabla RPE'!$B$3:$J$3,0)),"")</f>
        <v>0.84</v>
      </c>
      <c r="J31" s="12" t="str">
        <f>IFERROR(VLOOKUP(E31,Datos!$A$7:$B$11,2,FALSE)*I31,"")</f>
        <v/>
      </c>
      <c r="K31" s="4"/>
      <c r="L31" s="4"/>
    </row>
    <row r="32" spans="1:12" x14ac:dyDescent="0.35">
      <c r="A32" t="s">
        <v>33</v>
      </c>
      <c r="B32">
        <v>5</v>
      </c>
      <c r="C32" t="s">
        <v>32</v>
      </c>
      <c r="D32" t="s">
        <v>30</v>
      </c>
      <c r="E32" s="4"/>
      <c r="F32" s="4">
        <v>3</v>
      </c>
      <c r="G32" s="4">
        <v>6</v>
      </c>
      <c r="H32" s="4">
        <v>8.5</v>
      </c>
      <c r="I32" s="8">
        <f>IFERROR(INDEX('Tabla RPE'!$B$4:$J$13,MATCH(G32,'Tabla RPE'!$A$4:$A$13,0),MATCH(H32,'Tabla RPE'!$B$3:$J$3,0)),"")</f>
        <v>0.84</v>
      </c>
      <c r="J32" s="12" t="str">
        <f>IFERROR(VLOOKUP(E32,Datos!$A$7:$B$11,2,FALSE)*I32,"")</f>
        <v/>
      </c>
      <c r="K32" s="4"/>
      <c r="L32" s="4"/>
    </row>
    <row r="33" spans="1:12" x14ac:dyDescent="0.35">
      <c r="A33" t="s">
        <v>33</v>
      </c>
      <c r="B33">
        <v>5</v>
      </c>
      <c r="C33" t="s">
        <v>32</v>
      </c>
      <c r="D33" t="s">
        <v>31</v>
      </c>
      <c r="E33" s="4"/>
      <c r="F33" s="4"/>
      <c r="I33" s="13"/>
      <c r="J33" s="13"/>
      <c r="K33" s="4"/>
      <c r="L33" s="4"/>
    </row>
    <row r="34" spans="1:12" x14ac:dyDescent="0.35">
      <c r="A34" t="s">
        <v>34</v>
      </c>
      <c r="B34">
        <v>6</v>
      </c>
      <c r="C34" t="s">
        <v>28</v>
      </c>
      <c r="D34" t="s">
        <v>29</v>
      </c>
      <c r="E34" s="4"/>
      <c r="F34" s="4">
        <v>3</v>
      </c>
      <c r="G34" s="4">
        <v>8</v>
      </c>
      <c r="H34" s="4">
        <v>6</v>
      </c>
      <c r="I34" s="8">
        <f>IFERROR(INDEX('Tabla RPE'!$B$4:$J$13,MATCH(G34,'Tabla RPE'!$A$4:$A$13,0),MATCH(H34,'Tabla RPE'!$B$3:$J$3,0)),"")</f>
        <v>0.7</v>
      </c>
      <c r="J34" s="12" t="str">
        <f>IFERROR(VLOOKUP(E34,Datos!$A$7:$B$11,2,FALSE)*I34,"")</f>
        <v/>
      </c>
      <c r="K34" s="4"/>
      <c r="L34" s="4"/>
    </row>
    <row r="35" spans="1:12" x14ac:dyDescent="0.35">
      <c r="A35" t="s">
        <v>34</v>
      </c>
      <c r="B35">
        <v>6</v>
      </c>
      <c r="C35" t="s">
        <v>28</v>
      </c>
      <c r="D35" t="s">
        <v>30</v>
      </c>
      <c r="E35" s="4"/>
      <c r="F35" s="4">
        <v>3</v>
      </c>
      <c r="G35" s="4">
        <v>8</v>
      </c>
      <c r="H35" s="4">
        <v>6</v>
      </c>
      <c r="I35" s="8">
        <f>IFERROR(INDEX('Tabla RPE'!$B$4:$J$13,MATCH(G35,'Tabla RPE'!$A$4:$A$13,0),MATCH(H35,'Tabla RPE'!$B$3:$J$3,0)),"")</f>
        <v>0.7</v>
      </c>
      <c r="J35" s="12" t="str">
        <f>IFERROR(VLOOKUP(E35,Datos!$A$7:$B$11,2,FALSE)*I35,"")</f>
        <v/>
      </c>
      <c r="K35" s="4"/>
      <c r="L35" s="4"/>
    </row>
    <row r="36" spans="1:12" x14ac:dyDescent="0.35">
      <c r="A36" t="s">
        <v>34</v>
      </c>
      <c r="B36">
        <v>6</v>
      </c>
      <c r="C36" t="s">
        <v>28</v>
      </c>
      <c r="D36" t="s">
        <v>31</v>
      </c>
      <c r="E36" s="4"/>
      <c r="F36" s="4"/>
      <c r="I36" s="13"/>
      <c r="J36" s="13"/>
      <c r="K36" s="4"/>
      <c r="L36" s="4"/>
    </row>
    <row r="37" spans="1:12" x14ac:dyDescent="0.35">
      <c r="A37" t="s">
        <v>34</v>
      </c>
      <c r="B37">
        <v>6</v>
      </c>
      <c r="C37" t="s">
        <v>32</v>
      </c>
      <c r="D37" t="s">
        <v>29</v>
      </c>
      <c r="E37" s="4"/>
      <c r="F37" s="4">
        <v>3</v>
      </c>
      <c r="G37" s="4">
        <v>8</v>
      </c>
      <c r="H37" s="4">
        <v>6</v>
      </c>
      <c r="I37" s="8">
        <f>IFERROR(INDEX('Tabla RPE'!$B$4:$J$13,MATCH(G37,'Tabla RPE'!$A$4:$A$13,0),MATCH(H37,'Tabla RPE'!$B$3:$J$3,0)),"")</f>
        <v>0.7</v>
      </c>
      <c r="J37" s="12" t="str">
        <f>IFERROR(VLOOKUP(E37,Datos!$A$7:$B$11,2,FALSE)*I37,"")</f>
        <v/>
      </c>
      <c r="K37" s="4"/>
      <c r="L37" s="4"/>
    </row>
    <row r="38" spans="1:12" x14ac:dyDescent="0.35">
      <c r="A38" t="s">
        <v>34</v>
      </c>
      <c r="B38">
        <v>6</v>
      </c>
      <c r="C38" t="s">
        <v>32</v>
      </c>
      <c r="D38" t="s">
        <v>30</v>
      </c>
      <c r="E38" s="4"/>
      <c r="F38" s="4">
        <v>3</v>
      </c>
      <c r="G38" s="4">
        <v>8</v>
      </c>
      <c r="H38" s="4">
        <v>6</v>
      </c>
      <c r="I38" s="8">
        <f>IFERROR(INDEX('Tabla RPE'!$B$4:$J$13,MATCH(G38,'Tabla RPE'!$A$4:$A$13,0),MATCH(H38,'Tabla RPE'!$B$3:$J$3,0)),"")</f>
        <v>0.7</v>
      </c>
      <c r="J38" s="12" t="str">
        <f>IFERROR(VLOOKUP(E38,Datos!$A$7:$B$11,2,FALSE)*I38,"")</f>
        <v/>
      </c>
      <c r="K38" s="4"/>
      <c r="L38" s="4"/>
    </row>
    <row r="39" spans="1:12" x14ac:dyDescent="0.35">
      <c r="A39" t="s">
        <v>34</v>
      </c>
      <c r="B39">
        <v>6</v>
      </c>
      <c r="C39" t="s">
        <v>32</v>
      </c>
      <c r="D39" t="s">
        <v>31</v>
      </c>
      <c r="E39" s="4"/>
      <c r="F39" s="4"/>
      <c r="I39" s="13"/>
      <c r="J39" s="13"/>
      <c r="K39" s="4"/>
      <c r="L39" s="4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CD39-15BF-4C9D-8AA0-92492AA353E2}">
  <dimension ref="A1:K16"/>
  <sheetViews>
    <sheetView workbookViewId="0"/>
  </sheetViews>
  <sheetFormatPr baseColWidth="10" defaultRowHeight="14.5" x14ac:dyDescent="0.35"/>
  <cols>
    <col min="1" max="1" width="14.6328125" customWidth="1"/>
    <col min="2" max="10" width="8.6328125" customWidth="1"/>
  </cols>
  <sheetData>
    <row r="1" spans="1:11" ht="18.5" x14ac:dyDescent="0.45">
      <c r="A1" s="2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35">
      <c r="A3" s="7" t="s">
        <v>13</v>
      </c>
      <c r="B3" s="7">
        <v>6</v>
      </c>
      <c r="C3" s="7">
        <v>6.5</v>
      </c>
      <c r="D3" s="7">
        <v>7</v>
      </c>
      <c r="E3" s="7">
        <v>7.5</v>
      </c>
      <c r="F3" s="7">
        <v>8</v>
      </c>
      <c r="G3" s="7">
        <v>8.5</v>
      </c>
      <c r="H3" s="7">
        <v>9</v>
      </c>
      <c r="I3" s="7">
        <v>9.5</v>
      </c>
      <c r="J3" s="7">
        <v>10</v>
      </c>
    </row>
    <row r="4" spans="1:11" x14ac:dyDescent="0.35">
      <c r="A4" s="3">
        <v>1</v>
      </c>
      <c r="B4" s="8">
        <v>0.86</v>
      </c>
      <c r="C4" s="8">
        <v>0.87</v>
      </c>
      <c r="D4" s="8">
        <v>0.89</v>
      </c>
      <c r="E4" s="8">
        <v>0.9</v>
      </c>
      <c r="F4" s="8">
        <v>0.92</v>
      </c>
      <c r="G4" s="8">
        <v>0.94</v>
      </c>
      <c r="H4" s="8">
        <v>0.96</v>
      </c>
      <c r="I4" s="8">
        <v>0.98</v>
      </c>
      <c r="J4" s="8">
        <v>1</v>
      </c>
    </row>
    <row r="5" spans="1:11" x14ac:dyDescent="0.35">
      <c r="A5" s="3">
        <v>2</v>
      </c>
      <c r="B5" s="8">
        <v>0.84</v>
      </c>
      <c r="C5" s="8">
        <v>0.85</v>
      </c>
      <c r="D5" s="8">
        <v>0.87</v>
      </c>
      <c r="E5" s="8">
        <v>0.88</v>
      </c>
      <c r="F5" s="8">
        <v>0.9</v>
      </c>
      <c r="G5" s="8">
        <v>0.92</v>
      </c>
      <c r="H5" s="8">
        <v>0.94</v>
      </c>
      <c r="I5" s="8">
        <v>0.96</v>
      </c>
      <c r="J5" s="8">
        <v>0.98</v>
      </c>
    </row>
    <row r="6" spans="1:11" x14ac:dyDescent="0.35">
      <c r="A6" s="3">
        <v>3</v>
      </c>
      <c r="B6" s="8">
        <v>0.81</v>
      </c>
      <c r="C6" s="8">
        <v>0.83</v>
      </c>
      <c r="D6" s="8">
        <v>0.84</v>
      </c>
      <c r="E6" s="8">
        <v>0.86</v>
      </c>
      <c r="F6" s="8">
        <v>0.88</v>
      </c>
      <c r="G6" s="8">
        <v>0.9</v>
      </c>
      <c r="H6" s="8">
        <v>0.92</v>
      </c>
      <c r="I6" s="8">
        <v>0.94</v>
      </c>
      <c r="J6" s="8">
        <v>0.96</v>
      </c>
    </row>
    <row r="7" spans="1:11" x14ac:dyDescent="0.35">
      <c r="A7" s="3">
        <v>4</v>
      </c>
      <c r="B7" s="8">
        <v>0.79</v>
      </c>
      <c r="C7" s="8">
        <v>0.81</v>
      </c>
      <c r="D7" s="8">
        <v>0.82</v>
      </c>
      <c r="E7" s="8">
        <v>0.84</v>
      </c>
      <c r="F7" s="8">
        <v>0.86</v>
      </c>
      <c r="G7" s="8">
        <v>0.88</v>
      </c>
      <c r="H7" s="8">
        <v>0.9</v>
      </c>
      <c r="I7" s="8">
        <v>0.92</v>
      </c>
      <c r="J7" s="8">
        <v>0.94</v>
      </c>
    </row>
    <row r="8" spans="1:11" x14ac:dyDescent="0.35">
      <c r="A8" s="3">
        <v>5</v>
      </c>
      <c r="B8" s="8">
        <v>0.77</v>
      </c>
      <c r="C8" s="8">
        <v>0.78</v>
      </c>
      <c r="D8" s="8">
        <v>0.8</v>
      </c>
      <c r="E8" s="8">
        <v>0.82</v>
      </c>
      <c r="F8" s="8">
        <v>0.84</v>
      </c>
      <c r="G8" s="8">
        <v>0.86</v>
      </c>
      <c r="H8" s="8">
        <v>0.88</v>
      </c>
      <c r="I8" s="8">
        <v>0.9</v>
      </c>
      <c r="J8" s="8">
        <v>0.92</v>
      </c>
    </row>
    <row r="9" spans="1:11" x14ac:dyDescent="0.35">
      <c r="A9" s="3">
        <v>6</v>
      </c>
      <c r="B9" s="8">
        <v>0.74</v>
      </c>
      <c r="C9" s="8">
        <v>0.76</v>
      </c>
      <c r="D9" s="8">
        <v>0.78</v>
      </c>
      <c r="E9" s="8">
        <v>0.8</v>
      </c>
      <c r="F9" s="8">
        <v>0.82</v>
      </c>
      <c r="G9" s="8">
        <v>0.84</v>
      </c>
      <c r="H9" s="8">
        <v>0.86</v>
      </c>
      <c r="I9" s="8">
        <v>0.88</v>
      </c>
      <c r="J9" s="8">
        <v>0.9</v>
      </c>
    </row>
    <row r="10" spans="1:11" x14ac:dyDescent="0.35">
      <c r="A10" s="3">
        <v>7</v>
      </c>
      <c r="B10" s="8">
        <v>0.72</v>
      </c>
      <c r="C10" s="8">
        <v>0.74</v>
      </c>
      <c r="D10" s="8">
        <v>0.76</v>
      </c>
      <c r="E10" s="8">
        <v>0.78</v>
      </c>
      <c r="F10" s="8">
        <v>0.8</v>
      </c>
      <c r="G10" s="8">
        <v>0.82</v>
      </c>
      <c r="H10" s="8">
        <v>0.84</v>
      </c>
      <c r="I10" s="8">
        <v>0.86</v>
      </c>
      <c r="J10" s="8">
        <v>0.88</v>
      </c>
    </row>
    <row r="11" spans="1:11" x14ac:dyDescent="0.35">
      <c r="A11" s="3">
        <v>8</v>
      </c>
      <c r="B11" s="8">
        <v>0.7</v>
      </c>
      <c r="C11" s="8">
        <v>0.72</v>
      </c>
      <c r="D11" s="8">
        <v>0.74</v>
      </c>
      <c r="E11" s="8">
        <v>0.76</v>
      </c>
      <c r="F11" s="8">
        <v>0.78</v>
      </c>
      <c r="G11" s="8">
        <v>0.8</v>
      </c>
      <c r="H11" s="8">
        <v>0.82</v>
      </c>
      <c r="I11" s="8">
        <v>0.84</v>
      </c>
      <c r="J11" s="8">
        <v>0.86</v>
      </c>
    </row>
    <row r="12" spans="1:11" x14ac:dyDescent="0.35">
      <c r="A12" s="3">
        <v>9</v>
      </c>
      <c r="B12" s="8">
        <v>0.68</v>
      </c>
      <c r="C12" s="8">
        <v>0.7</v>
      </c>
      <c r="D12" s="8">
        <v>0.72</v>
      </c>
      <c r="E12" s="8">
        <v>0.74</v>
      </c>
      <c r="F12" s="8">
        <v>0.76</v>
      </c>
      <c r="G12" s="8">
        <v>0.78</v>
      </c>
      <c r="H12" s="8">
        <v>0.8</v>
      </c>
      <c r="I12" s="8">
        <v>0.82</v>
      </c>
      <c r="J12" s="8">
        <v>0.84</v>
      </c>
    </row>
    <row r="13" spans="1:11" x14ac:dyDescent="0.35">
      <c r="A13" s="3">
        <v>10</v>
      </c>
      <c r="B13" s="8">
        <v>0.66</v>
      </c>
      <c r="C13" s="8">
        <v>0.68</v>
      </c>
      <c r="D13" s="8">
        <v>0.7</v>
      </c>
      <c r="E13" s="8">
        <v>0.72</v>
      </c>
      <c r="F13" s="8">
        <v>0.74</v>
      </c>
      <c r="G13" s="8">
        <v>0.76</v>
      </c>
      <c r="H13" s="8">
        <v>0.78</v>
      </c>
      <c r="I13" s="8">
        <v>0.8</v>
      </c>
      <c r="J13" s="8">
        <v>0.82</v>
      </c>
    </row>
    <row r="16" spans="1:11" x14ac:dyDescent="0.35">
      <c r="A16" s="9" t="s">
        <v>14</v>
      </c>
      <c r="B16" s="9"/>
      <c r="C16" s="9"/>
      <c r="D16" s="9"/>
      <c r="E16" s="9"/>
      <c r="F16" s="9"/>
      <c r="G16" s="9"/>
      <c r="H16" s="9"/>
      <c r="I16" s="9"/>
    </row>
  </sheetData>
  <mergeCells count="2">
    <mergeCell ref="A1:K1"/>
    <mergeCell ref="A16:I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62D8-740A-4893-9227-479D445E3E70}">
  <dimension ref="A1:C11"/>
  <sheetViews>
    <sheetView tabSelected="1" workbookViewId="0">
      <selection sqref="A1:C1"/>
    </sheetView>
  </sheetViews>
  <sheetFormatPr baseColWidth="10" defaultRowHeight="14.5" x14ac:dyDescent="0.35"/>
  <cols>
    <col min="1" max="1" width="22.6328125" customWidth="1"/>
    <col min="2" max="2" width="18.6328125" customWidth="1"/>
    <col min="3" max="3" width="45.6328125" customWidth="1"/>
  </cols>
  <sheetData>
    <row r="1" spans="1:3" ht="18.5" x14ac:dyDescent="0.45">
      <c r="A1" s="2" t="s">
        <v>0</v>
      </c>
      <c r="B1" s="1"/>
      <c r="C1" s="1"/>
    </row>
    <row r="3" spans="1:3" x14ac:dyDescent="0.35">
      <c r="A3" s="3" t="s">
        <v>1</v>
      </c>
      <c r="B3" s="4"/>
    </row>
    <row r="4" spans="1:3" x14ac:dyDescent="0.35">
      <c r="A4" s="3" t="s">
        <v>2</v>
      </c>
      <c r="B4" s="5"/>
      <c r="C4" s="6" t="s">
        <v>3</v>
      </c>
    </row>
    <row r="6" spans="1:3" x14ac:dyDescent="0.35">
      <c r="A6" s="7" t="s">
        <v>4</v>
      </c>
      <c r="B6" s="7" t="s">
        <v>5</v>
      </c>
      <c r="C6" s="7" t="s">
        <v>6</v>
      </c>
    </row>
    <row r="7" spans="1:3" x14ac:dyDescent="0.35">
      <c r="A7" t="s">
        <v>7</v>
      </c>
      <c r="B7" s="4"/>
      <c r="C7" s="4"/>
    </row>
    <row r="8" spans="1:3" x14ac:dyDescent="0.35">
      <c r="A8" t="s">
        <v>8</v>
      </c>
      <c r="B8" s="4"/>
      <c r="C8" s="4"/>
    </row>
    <row r="9" spans="1:3" x14ac:dyDescent="0.35">
      <c r="A9" t="s">
        <v>9</v>
      </c>
      <c r="B9" s="4"/>
      <c r="C9" s="4"/>
    </row>
    <row r="10" spans="1:3" x14ac:dyDescent="0.35">
      <c r="A10" t="s">
        <v>10</v>
      </c>
      <c r="B10" s="4"/>
      <c r="C10" s="4"/>
    </row>
    <row r="11" spans="1:3" x14ac:dyDescent="0.35">
      <c r="A11" t="s">
        <v>11</v>
      </c>
      <c r="B11" s="4"/>
      <c r="C11" s="4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Planificador</vt:lpstr>
      <vt:lpstr>Tabla RPE</vt:lpstr>
      <vt:lpstr>Datos</vt:lpstr>
    </vt:vector>
  </TitlesOfParts>
  <Company>SCBA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Ibañez</dc:creator>
  <cp:lastModifiedBy>Jimena Ibañez</cp:lastModifiedBy>
  <dcterms:created xsi:type="dcterms:W3CDTF">2026-08-11T17:52:17Z</dcterms:created>
  <dcterms:modified xsi:type="dcterms:W3CDTF">2026-08-11T17:54:11Z</dcterms:modified>
</cp:coreProperties>
</file>